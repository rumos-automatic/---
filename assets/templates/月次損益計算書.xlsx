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損益計算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sz val="11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0" fillId="4" borderId="0" pivotButton="0" quotePrefix="0" xfId="0"/>
    <xf numFmtId="164" fontId="0" fillId="5" borderId="0" pivotButton="0" quotePrefix="0" xfId="0"/>
    <xf numFmtId="0" fontId="5" fillId="0" borderId="0" pivotButton="0" quotePrefix="0" xfId="0"/>
    <xf numFmtId="3" fontId="5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月次損益計算書</t>
        </is>
      </c>
    </row>
    <row r="2">
      <c r="A2" s="2" t="inlineStr">
        <is>
          <t>【使い方】青色のセルに数値を入力してください。緑色のセルは自動計算されます。</t>
        </is>
      </c>
    </row>
    <row r="4">
      <c r="A4" s="3" t="inlineStr">
        <is>
          <t>対象月</t>
        </is>
      </c>
      <c r="B4" s="4" t="inlineStr">
        <is>
          <t>2025年1月</t>
        </is>
      </c>
    </row>
    <row r="6">
      <c r="A6" s="5" t="inlineStr">
        <is>
          <t>科目</t>
        </is>
      </c>
      <c r="B6" s="5" t="inlineStr">
        <is>
          <t>金額（円）</t>
        </is>
      </c>
      <c r="C6" s="5" t="inlineStr">
        <is>
          <t>構成比（%）</t>
        </is>
      </c>
      <c r="D6" s="5" t="inlineStr">
        <is>
          <t>備考</t>
        </is>
      </c>
    </row>
    <row r="7">
      <c r="A7" s="6" t="inlineStr">
        <is>
          <t>売上高</t>
        </is>
      </c>
      <c r="B7" s="7" t="n">
        <v>5000000</v>
      </c>
      <c r="C7" s="8">
        <f>B7/$B$7*100</f>
        <v/>
      </c>
      <c r="D7" t="inlineStr">
        <is>
          <t>売上の合計</t>
        </is>
      </c>
    </row>
    <row r="8">
      <c r="A8" t="inlineStr">
        <is>
          <t>売上原価</t>
        </is>
      </c>
      <c r="B8" s="7" t="n">
        <v>2000000</v>
      </c>
      <c r="C8" s="8">
        <f>B8/$B$7*100</f>
        <v/>
      </c>
      <c r="D8" t="inlineStr">
        <is>
          <t>商品の仕入・製造原価</t>
        </is>
      </c>
    </row>
    <row r="9">
      <c r="A9" s="9" t="inlineStr">
        <is>
          <t>売上総利益（粗利）</t>
        </is>
      </c>
      <c r="B9" s="10">
        <f>B7-B8</f>
        <v/>
      </c>
      <c r="C9" s="8">
        <f>B9/$B$7*100</f>
        <v/>
      </c>
      <c r="D9" t="inlineStr">
        <is>
          <t>売上高-売上原価</t>
        </is>
      </c>
    </row>
    <row r="11">
      <c r="A11" s="11" t="inlineStr">
        <is>
          <t>販売費及び一般管理費</t>
        </is>
      </c>
    </row>
    <row r="12">
      <c r="A12" t="inlineStr">
        <is>
          <t xml:space="preserve">  人件費</t>
        </is>
      </c>
      <c r="B12" s="7" t="n">
        <v>800000</v>
      </c>
      <c r="C12" s="8">
        <f>B12/$B$7*100</f>
        <v/>
      </c>
      <c r="D12" t="inlineStr">
        <is>
          <t>給与・賞与</t>
        </is>
      </c>
    </row>
    <row r="13">
      <c r="A13" t="inlineStr">
        <is>
          <t xml:space="preserve">  広告宣伝費</t>
        </is>
      </c>
      <c r="B13" s="7" t="n">
        <v>300000</v>
      </c>
      <c r="C13" s="8">
        <f>B13/$B$7*100</f>
        <v/>
      </c>
      <c r="D13" t="inlineStr">
        <is>
          <t>マーケティング費用</t>
        </is>
      </c>
    </row>
    <row r="14">
      <c r="A14" t="inlineStr">
        <is>
          <t xml:space="preserve">  家賃</t>
        </is>
      </c>
      <c r="B14" s="7" t="n">
        <v>200000</v>
      </c>
      <c r="C14" s="8">
        <f>B14/$B$7*100</f>
        <v/>
      </c>
      <c r="D14" t="inlineStr">
        <is>
          <t>事務所・店舗家賃</t>
        </is>
      </c>
    </row>
    <row r="15">
      <c r="A15" t="inlineStr">
        <is>
          <t xml:space="preserve">  水道光熱費</t>
        </is>
      </c>
      <c r="B15" s="7" t="n">
        <v>50000</v>
      </c>
      <c r="C15" s="8">
        <f>B15/$B$7*100</f>
        <v/>
      </c>
      <c r="D15" t="inlineStr">
        <is>
          <t>電気・水道・ガス</t>
        </is>
      </c>
    </row>
    <row r="16">
      <c r="A16" t="inlineStr">
        <is>
          <t xml:space="preserve">  通信費</t>
        </is>
      </c>
      <c r="B16" s="7" t="n">
        <v>30000</v>
      </c>
      <c r="C16" s="8">
        <f>B16/$B$7*100</f>
        <v/>
      </c>
      <c r="D16" t="inlineStr">
        <is>
          <t>電話・インターネット</t>
        </is>
      </c>
    </row>
    <row r="17">
      <c r="A17" t="inlineStr">
        <is>
          <t xml:space="preserve">  その他経費</t>
        </is>
      </c>
      <c r="B17" s="7" t="n">
        <v>120000</v>
      </c>
      <c r="C17" s="8">
        <f>B17/$B$7*100</f>
        <v/>
      </c>
      <c r="D17" t="inlineStr">
        <is>
          <t>消耗品・雑費など</t>
        </is>
      </c>
    </row>
    <row r="18">
      <c r="A18" s="9" t="inlineStr">
        <is>
          <t>販管費合計</t>
        </is>
      </c>
      <c r="B18" s="10">
        <f>SUM(B12:B17)</f>
        <v/>
      </c>
      <c r="C18" s="8">
        <f>B18/$B$7*100</f>
        <v/>
      </c>
    </row>
    <row r="20">
      <c r="A20" s="9" t="inlineStr">
        <is>
          <t>営業利益</t>
        </is>
      </c>
      <c r="B20" s="10">
        <f>B9-B18</f>
        <v/>
      </c>
      <c r="C20" s="8">
        <f>B20/$B$7*100</f>
        <v/>
      </c>
      <c r="D20" t="inlineStr">
        <is>
          <t>本業の利益</t>
        </is>
      </c>
    </row>
    <row r="21">
      <c r="A21" t="inlineStr">
        <is>
          <t>営業外収益</t>
        </is>
      </c>
      <c r="B21" s="7" t="n">
        <v>10000</v>
      </c>
      <c r="D21" t="inlineStr">
        <is>
          <t>受取利息など</t>
        </is>
      </c>
    </row>
    <row r="22">
      <c r="A22" t="inlineStr">
        <is>
          <t>営業外費用</t>
        </is>
      </c>
      <c r="B22" s="7" t="n">
        <v>50000</v>
      </c>
      <c r="D22" t="inlineStr">
        <is>
          <t>支払利息など</t>
        </is>
      </c>
    </row>
    <row r="23">
      <c r="A23" s="9" t="inlineStr">
        <is>
          <t>経常利益</t>
        </is>
      </c>
      <c r="B23" s="10">
        <f>B20+B21-B22</f>
        <v/>
      </c>
      <c r="C23" s="8">
        <f>B23/$B$7*100</f>
        <v/>
      </c>
      <c r="D23" t="inlineStr">
        <is>
          <t>営業利益±営業外損益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2025-11-01T11:05:13Z</dcterms:created>
  <dcterms:modified xmlns:dcterms="http://purl.org/dc/terms/" xmlns:xsi="http://www.w3.org/2001/XMLSchema-instance" xsi:type="dcterms:W3CDTF">2025-11-01T11:05:13Z</dcterms:modified>
</cp:coreProperties>
</file>