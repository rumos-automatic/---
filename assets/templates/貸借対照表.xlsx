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貸借対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i val="1"/>
      <sz val="9"/>
    </font>
    <font>
      <name val="メイリオ"/>
      <b val="1"/>
      <color rgb="00FFFFFF"/>
      <sz val="11"/>
    </font>
    <font>
      <name val="メイリオ"/>
      <b val="1"/>
      <sz val="11"/>
    </font>
  </fonts>
  <fills count="6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3" fontId="0" fillId="4" borderId="0" pivotButton="0" quotePrefix="0" xfId="0"/>
    <xf numFmtId="164" fontId="0" fillId="5" borderId="0" pivotButton="0" quotePrefix="0" xfId="0"/>
    <xf numFmtId="0" fontId="4" fillId="0" borderId="0" pivotButton="0" quotePrefix="0" xfId="0"/>
    <xf numFmtId="3" fontId="4" fillId="5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15" customWidth="1" min="5" max="5"/>
    <col width="10" customWidth="1" min="6" max="6"/>
  </cols>
  <sheetData>
    <row r="1">
      <c r="A1" s="1" t="inlineStr">
        <is>
          <t>貸借対照表（Balance Sheet）</t>
        </is>
      </c>
    </row>
    <row r="2">
      <c r="A2" s="2" t="inlineStr">
        <is>
          <t>【使い方】青色のセルに数値を入力してください。緑色のセルは自動計算されます。</t>
        </is>
      </c>
    </row>
    <row r="4">
      <c r="A4" s="3" t="inlineStr">
        <is>
          <t>基準日</t>
        </is>
      </c>
      <c r="B4" s="4" t="inlineStr">
        <is>
          <t>2025年1月31日</t>
        </is>
      </c>
    </row>
    <row r="6">
      <c r="A6" s="5" t="inlineStr">
        <is>
          <t>【資産の部】</t>
        </is>
      </c>
      <c r="D6" s="5" t="inlineStr">
        <is>
          <t>【負債・純資産の部】</t>
        </is>
      </c>
    </row>
    <row r="7">
      <c r="A7" s="5" t="inlineStr">
        <is>
          <t>科目</t>
        </is>
      </c>
      <c r="B7" s="5" t="inlineStr">
        <is>
          <t>金額（円）</t>
        </is>
      </c>
      <c r="C7" s="5" t="inlineStr">
        <is>
          <t>%</t>
        </is>
      </c>
      <c r="D7" s="5" t="inlineStr">
        <is>
          <t>科目</t>
        </is>
      </c>
      <c r="E7" s="5" t="inlineStr">
        <is>
          <t>金額（円）</t>
        </is>
      </c>
      <c r="F7" s="5" t="inlineStr">
        <is>
          <t>%</t>
        </is>
      </c>
    </row>
    <row r="8">
      <c r="A8" t="inlineStr">
        <is>
          <t>流動資産</t>
        </is>
      </c>
      <c r="D8" t="inlineStr">
        <is>
          <t>流動負債</t>
        </is>
      </c>
    </row>
    <row r="9">
      <c r="A9" t="inlineStr">
        <is>
          <t xml:space="preserve">  現金・預金</t>
        </is>
      </c>
      <c r="B9" s="6" t="n">
        <v>3000000</v>
      </c>
      <c r="C9" s="7">
        <f>B9/$B$18*100</f>
        <v/>
      </c>
      <c r="D9" t="inlineStr">
        <is>
          <t xml:space="preserve">  買掛金</t>
        </is>
      </c>
      <c r="E9" s="6" t="n">
        <v>600000</v>
      </c>
      <c r="F9" s="7">
        <f>E9/$E$20*100</f>
        <v/>
      </c>
    </row>
    <row r="10">
      <c r="A10" t="inlineStr">
        <is>
          <t xml:space="preserve">  売掛金</t>
        </is>
      </c>
      <c r="B10" s="6" t="n">
        <v>1500000</v>
      </c>
      <c r="C10" s="7">
        <f>B10/$B$18*100</f>
        <v/>
      </c>
      <c r="D10" t="inlineStr">
        <is>
          <t xml:space="preserve">  短期借入金</t>
        </is>
      </c>
      <c r="E10" s="6" t="n">
        <v>1000000</v>
      </c>
      <c r="F10" s="7">
        <f>E10/$E$20*100</f>
        <v/>
      </c>
    </row>
    <row r="11">
      <c r="A11" t="inlineStr">
        <is>
          <t xml:space="preserve">  在庫</t>
        </is>
      </c>
      <c r="B11" s="6" t="n">
        <v>800000</v>
      </c>
      <c r="C11" s="7">
        <f>B11/$B$18*100</f>
        <v/>
      </c>
      <c r="D11" s="8" t="inlineStr">
        <is>
          <t>流動負債合計</t>
        </is>
      </c>
      <c r="E11" s="9">
        <f>SUM(E9:E10)</f>
        <v/>
      </c>
      <c r="F11" s="7">
        <f>E11/$E$20*100</f>
        <v/>
      </c>
    </row>
    <row r="12">
      <c r="A12" s="8" t="inlineStr">
        <is>
          <t>流動資産合計</t>
        </is>
      </c>
      <c r="B12" s="9">
        <f>SUM(B9:B11)</f>
        <v/>
      </c>
      <c r="C12" s="7">
        <f>B12/$B$18*100</f>
        <v/>
      </c>
      <c r="D12" t="inlineStr">
        <is>
          <t>固定負債</t>
        </is>
      </c>
    </row>
    <row r="13">
      <c r="A13" t="inlineStr">
        <is>
          <t>固定資産</t>
        </is>
      </c>
      <c r="D13" t="inlineStr">
        <is>
          <t xml:space="preserve">  長期借入金</t>
        </is>
      </c>
      <c r="E13" s="6" t="n">
        <v>2000000</v>
      </c>
      <c r="F13" s="7">
        <f>E13/$E$20*100</f>
        <v/>
      </c>
    </row>
    <row r="14">
      <c r="A14" t="inlineStr">
        <is>
          <t xml:space="preserve">  建物・設備</t>
        </is>
      </c>
      <c r="B14" s="6" t="n">
        <v>2000000</v>
      </c>
      <c r="C14" s="7">
        <f>B14/$B$18*100</f>
        <v/>
      </c>
      <c r="D14" s="8" t="inlineStr">
        <is>
          <t>固定負債合計</t>
        </is>
      </c>
      <c r="E14" s="9">
        <f>E13</f>
        <v/>
      </c>
      <c r="F14" s="7">
        <f>E14/$E$20*100</f>
        <v/>
      </c>
    </row>
    <row r="15">
      <c r="A15" t="inlineStr">
        <is>
          <t xml:space="preserve">  車両</t>
        </is>
      </c>
      <c r="B15" s="6" t="n">
        <v>500000</v>
      </c>
      <c r="C15" s="7">
        <f>B15/$B$18*100</f>
        <v/>
      </c>
      <c r="D15" s="8" t="inlineStr">
        <is>
          <t>負債合計</t>
        </is>
      </c>
      <c r="E15" s="9">
        <f>E11+E14</f>
        <v/>
      </c>
      <c r="F15" s="7">
        <f>E15/$E$20*100</f>
        <v/>
      </c>
    </row>
    <row r="16">
      <c r="A16" s="8" t="inlineStr">
        <is>
          <t>固定資産合計</t>
        </is>
      </c>
      <c r="B16" s="9">
        <f>SUM(B15:B16)</f>
        <v/>
      </c>
      <c r="C16" s="7">
        <f>B16/$B$18*100</f>
        <v/>
      </c>
      <c r="D16" t="inlineStr">
        <is>
          <t>純資産</t>
        </is>
      </c>
    </row>
    <row r="17">
      <c r="A17" s="8" t="inlineStr">
        <is>
          <t>資産合計</t>
        </is>
      </c>
      <c r="B17" s="9">
        <f>B12+B17</f>
        <v/>
      </c>
      <c r="C17" s="7">
        <f>B17/$B$18*100</f>
        <v/>
      </c>
      <c r="D17" t="inlineStr">
        <is>
          <t xml:space="preserve">  資本金</t>
        </is>
      </c>
      <c r="E17" s="6" t="n">
        <v>2000000</v>
      </c>
      <c r="F17" s="7">
        <f>E17/$E$20*100</f>
        <v/>
      </c>
    </row>
    <row r="18">
      <c r="D18" t="inlineStr">
        <is>
          <t xml:space="preserve">  利益剰余金</t>
        </is>
      </c>
      <c r="E18" s="6" t="n">
        <v>2200000</v>
      </c>
      <c r="F18" s="7">
        <f>E18/$E$20*100</f>
        <v/>
      </c>
    </row>
    <row r="19">
      <c r="D19" s="8" t="inlineStr">
        <is>
          <t>純資産合計</t>
        </is>
      </c>
      <c r="E19" s="9">
        <f>SUM(E17:E18)</f>
        <v/>
      </c>
      <c r="F19" s="7">
        <f>E19/$E$20*100</f>
        <v/>
      </c>
    </row>
    <row r="20">
      <c r="D20" s="8" t="inlineStr">
        <is>
          <t>負債・純資産合計</t>
        </is>
      </c>
      <c r="E20" s="9">
        <f>E15+E19</f>
        <v/>
      </c>
      <c r="F20" s="7">
        <f>E20/$E$20*100</f>
        <v/>
      </c>
    </row>
    <row r="22">
      <c r="A22" s="5" t="inlineStr">
        <is>
          <t>【主要財務指標】</t>
        </is>
      </c>
    </row>
    <row r="23">
      <c r="A23" t="inlineStr">
        <is>
          <t>自己資本比率</t>
        </is>
      </c>
      <c r="B23" s="10">
        <f>E19/E20*100</f>
        <v/>
      </c>
      <c r="C23" t="inlineStr">
        <is>
          <t>（30%以上が健全）</t>
        </is>
      </c>
    </row>
    <row r="24">
      <c r="A24" t="inlineStr">
        <is>
          <t>流動比率</t>
        </is>
      </c>
      <c r="B24" s="10">
        <f>B12/E11*100</f>
        <v/>
      </c>
      <c r="C24" t="inlineStr">
        <is>
          <t>（100%以上が健全）</t>
        </is>
      </c>
    </row>
  </sheetData>
  <mergeCells count="5">
    <mergeCell ref="A2:F2"/>
    <mergeCell ref="A1:F1"/>
    <mergeCell ref="A6:C6"/>
    <mergeCell ref="A22:F22"/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2025-11-01T11:05:17Z</dcterms:created>
  <dcterms:modified xmlns:dcterms="http://purl.org/dc/terms/" xmlns:xsi="http://www.w3.org/2001/XMLSchema-instance" xsi:type="dcterms:W3CDTF">2025-11-01T11:05:17Z</dcterms:modified>
</cp:coreProperties>
</file>