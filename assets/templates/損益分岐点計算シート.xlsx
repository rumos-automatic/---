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損益分岐点計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メイリオ"/>
      <b val="1"/>
      <color rgb="00FFFFFF"/>
      <sz val="16"/>
    </font>
    <font>
      <name val="メイリオ"/>
      <i val="1"/>
      <sz val="9"/>
    </font>
    <font>
      <name val="メイリオ"/>
      <b val="1"/>
      <color rgb="00FFFFFF"/>
      <sz val="11"/>
    </font>
    <font>
      <name val="メイリオ"/>
      <b val="1"/>
      <sz val="11"/>
    </font>
  </fonts>
  <fills count="6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4" fillId="0" borderId="0" pivotButton="0" quotePrefix="0" xfId="0"/>
    <xf numFmtId="3" fontId="4" fillId="5" borderId="0" pivotButton="0" quotePrefix="0" xfId="0"/>
    <xf numFmtId="164" fontId="4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損益分岐点計算シート</t>
        </is>
      </c>
    </row>
    <row r="2">
      <c r="A2" s="2" t="inlineStr">
        <is>
          <t>【使い方】青色のセルに数値を入力してください。緑色のセルは自動計算されます。</t>
        </is>
      </c>
    </row>
    <row r="4">
      <c r="A4" s="3" t="inlineStr">
        <is>
          <t>【入力データ】</t>
        </is>
      </c>
    </row>
    <row r="5">
      <c r="A5" t="inlineStr">
        <is>
          <t>商品単価（円/個）</t>
        </is>
      </c>
      <c r="B5" s="4" t="n">
        <v>5000</v>
      </c>
      <c r="C5" t="inlineStr">
        <is>
          <t>1個あたりの販売価格</t>
        </is>
      </c>
    </row>
    <row r="6">
      <c r="A6" t="inlineStr">
        <is>
          <t>変動費（円/個）</t>
        </is>
      </c>
      <c r="B6" s="4" t="n">
        <v>2000</v>
      </c>
      <c r="C6" t="inlineStr">
        <is>
          <t>1個あたりの仕入・製造原価</t>
        </is>
      </c>
    </row>
    <row r="7">
      <c r="A7" t="inlineStr">
        <is>
          <t>固定費（円/月）</t>
        </is>
      </c>
      <c r="B7" s="4" t="n">
        <v>1500000</v>
      </c>
      <c r="C7" t="inlineStr">
        <is>
          <t>人件費+家賃+経費</t>
        </is>
      </c>
    </row>
    <row r="10">
      <c r="A10" s="3" t="inlineStr">
        <is>
          <t>【計算結果】</t>
        </is>
      </c>
    </row>
    <row r="11">
      <c r="A11" t="inlineStr">
        <is>
          <t>限界利益（円/個）</t>
        </is>
      </c>
      <c r="B11" s="5">
        <f>B5-B6</f>
        <v/>
      </c>
      <c r="C11" t="inlineStr">
        <is>
          <t>単価-変動費</t>
        </is>
      </c>
    </row>
    <row r="12">
      <c r="A12" t="inlineStr">
        <is>
          <t>限界利益率（%）</t>
        </is>
      </c>
      <c r="B12" s="6">
        <f>B11/B5*100</f>
        <v/>
      </c>
      <c r="C12" t="inlineStr">
        <is>
          <t>限界利益÷単価</t>
        </is>
      </c>
    </row>
    <row r="13">
      <c r="A13" s="7" t="inlineStr">
        <is>
          <t>損益分岐点売上高（円）</t>
        </is>
      </c>
      <c r="B13" s="8">
        <f>B7/B12*100</f>
        <v/>
      </c>
      <c r="C13" t="inlineStr">
        <is>
          <t>固定費÷限界利益率</t>
        </is>
      </c>
    </row>
    <row r="14">
      <c r="A14" s="7" t="inlineStr">
        <is>
          <t>損益分岐点販売数（個）</t>
        </is>
      </c>
      <c r="B14" s="8">
        <f>B13/B5</f>
        <v/>
      </c>
      <c r="C14" t="inlineStr">
        <is>
          <t>損益分岐点売上÷単価</t>
        </is>
      </c>
    </row>
    <row r="15">
      <c r="A15" t="inlineStr">
        <is>
          <t>現在の売上高（円）</t>
        </is>
      </c>
      <c r="B15" s="4" t="n">
        <v>6000000</v>
      </c>
      <c r="C15" t="inlineStr">
        <is>
          <t>実際の売上</t>
        </is>
      </c>
    </row>
    <row r="16">
      <c r="A16" t="inlineStr">
        <is>
          <t>現在の販売数（個）</t>
        </is>
      </c>
      <c r="B16" s="5">
        <f>B15/B5</f>
        <v/>
      </c>
      <c r="C16" t="inlineStr">
        <is>
          <t>実際の販売数</t>
        </is>
      </c>
    </row>
    <row r="17">
      <c r="A17" s="7" t="inlineStr">
        <is>
          <t>安全余裕率（%）</t>
        </is>
      </c>
      <c r="B17" s="9">
        <f>(B15-B13)/B15*100</f>
        <v/>
      </c>
      <c r="C17" t="inlineStr">
        <is>
          <t>(売上-損益分岐点)÷売上</t>
        </is>
      </c>
    </row>
    <row r="20">
      <c r="A20" s="3" t="inlineStr">
        <is>
          <t>【判定】</t>
        </is>
      </c>
    </row>
    <row r="21">
      <c r="A21" t="inlineStr">
        <is>
          <t>安全余裕率の評価</t>
        </is>
      </c>
      <c r="B21" s="10">
        <f>IF(B17&gt;=30,"✓安全",IF(B17&gt;=10,"注意","危険"))</f>
        <v/>
      </c>
      <c r="C21" t="inlineStr">
        <is>
          <t>30%以上：安全、10-30%：注意、10%未満：危険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2025-11-01T11:05:40Z</dcterms:created>
  <dcterms:modified xmlns:dcterms="http://purl.org/dc/terms/" xmlns:xsi="http://www.w3.org/2001/XMLSchema-instance" xsi:type="dcterms:W3CDTF">2025-11-01T11:05:40Z</dcterms:modified>
</cp:coreProperties>
</file>