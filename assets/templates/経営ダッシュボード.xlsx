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経営ダッシュボ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6"/>
    </font>
    <font>
      <name val="メイリオ"/>
      <i val="1"/>
      <sz val="9"/>
    </font>
    <font>
      <name val="メイリオ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3" fillId="0" borderId="0" pivotButton="0" quotePrefix="0" xfId="0"/>
    <xf numFmtId="3" fontId="0" fillId="3" borderId="0" pivotButton="0" quotePrefix="0" xfId="0"/>
    <xf numFmtId="3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  <col width="15" customWidth="1" min="4" max="4"/>
  </cols>
  <sheetData>
    <row r="1">
      <c r="A1" s="1" t="inlineStr">
        <is>
          <t>経営ダッシュボード</t>
        </is>
      </c>
    </row>
    <row r="2">
      <c r="A2" s="2" t="inlineStr">
        <is>
          <t>【使い方】青色のセルに数値を入力してください。緑色のセルは自動計算され、KPIの健全性を一目で確認できます。</t>
        </is>
      </c>
    </row>
    <row r="4">
      <c r="A4" t="inlineStr">
        <is>
          <t>対象月</t>
        </is>
      </c>
      <c r="B4" s="3" t="inlineStr">
        <is>
          <t>2025年1月</t>
        </is>
      </c>
    </row>
    <row r="6">
      <c r="A6" s="4" t="inlineStr">
        <is>
          <t>【基本データ】</t>
        </is>
      </c>
    </row>
    <row r="7">
      <c r="A7" t="inlineStr">
        <is>
          <t xml:space="preserve">  売上高</t>
        </is>
      </c>
      <c r="B7" s="5" t="n">
        <v>5000000</v>
      </c>
      <c r="C7" t="inlineStr">
        <is>
          <t>月間売上</t>
        </is>
      </c>
    </row>
    <row r="8">
      <c r="A8" t="inlineStr">
        <is>
          <t xml:space="preserve">  売上原価</t>
        </is>
      </c>
      <c r="B8" s="5" t="n">
        <v>2000000</v>
      </c>
      <c r="C8" t="inlineStr">
        <is>
          <t>仕入・製造原価</t>
        </is>
      </c>
    </row>
    <row r="9">
      <c r="A9" t="inlineStr">
        <is>
          <t xml:space="preserve">  販管費</t>
        </is>
      </c>
      <c r="B9" s="5" t="n">
        <v>1500000</v>
      </c>
      <c r="C9" t="inlineStr">
        <is>
          <t>人件費+経費</t>
        </is>
      </c>
    </row>
    <row r="10">
      <c r="A10" t="inlineStr">
        <is>
          <t xml:space="preserve">  営業利益</t>
        </is>
      </c>
      <c r="B10" s="6">
        <f>B7-B8-B9</f>
        <v/>
      </c>
      <c r="C10" t="inlineStr">
        <is>
          <t>本業の利益</t>
        </is>
      </c>
    </row>
    <row r="11">
      <c r="A11" t="inlineStr">
        <is>
          <t xml:space="preserve">  現金残高</t>
        </is>
      </c>
      <c r="B11" s="5" t="n">
        <v>3000000</v>
      </c>
      <c r="C11" t="inlineStr">
        <is>
          <t>手元資金</t>
        </is>
      </c>
    </row>
    <row r="12">
      <c r="A12" t="inlineStr">
        <is>
          <t xml:space="preserve">  売掛金</t>
        </is>
      </c>
      <c r="B12" s="5" t="n">
        <v>1500000</v>
      </c>
      <c r="C12" t="inlineStr">
        <is>
          <t>未回収売上</t>
        </is>
      </c>
    </row>
    <row r="13">
      <c r="A13" t="inlineStr">
        <is>
          <t xml:space="preserve">  在庫</t>
        </is>
      </c>
      <c r="B13" s="5" t="n">
        <v>800000</v>
      </c>
      <c r="C13" t="inlineStr">
        <is>
          <t>在庫金額</t>
        </is>
      </c>
    </row>
    <row r="14">
      <c r="A14" t="inlineStr">
        <is>
          <t xml:space="preserve">  買掛金</t>
        </is>
      </c>
      <c r="B14" s="5" t="n">
        <v>600000</v>
      </c>
      <c r="C14" t="inlineStr">
        <is>
          <t>未払仕入</t>
        </is>
      </c>
    </row>
    <row r="15">
      <c r="A15" t="inlineStr">
        <is>
          <t xml:space="preserve">  借入金残高</t>
        </is>
      </c>
      <c r="B15" s="5" t="n">
        <v>3000000</v>
      </c>
      <c r="C15" t="inlineStr">
        <is>
          <t>融資残高</t>
        </is>
      </c>
    </row>
    <row r="16">
      <c r="A16" t="inlineStr">
        <is>
          <t xml:space="preserve">  月次返済額</t>
        </is>
      </c>
      <c r="B16" s="5" t="n">
        <v>300000</v>
      </c>
      <c r="C16" t="inlineStr">
        <is>
          <t>元本+利息</t>
        </is>
      </c>
    </row>
    <row r="19">
      <c r="A19" s="4" t="inlineStr">
        <is>
          <t>【主要KPI】</t>
        </is>
      </c>
    </row>
    <row r="20">
      <c r="A20" s="7" t="inlineStr">
        <is>
          <t>指標</t>
        </is>
      </c>
      <c r="B20" s="7" t="inlineStr">
        <is>
          <t>数値</t>
        </is>
      </c>
      <c r="C20" s="7" t="inlineStr">
        <is>
          <t>判定基準</t>
        </is>
      </c>
      <c r="D20" s="7" t="inlineStr">
        <is>
          <t>ステータス</t>
        </is>
      </c>
    </row>
    <row r="21">
      <c r="A21" t="inlineStr">
        <is>
          <t>粗利率</t>
        </is>
      </c>
      <c r="B21" s="8">
        <f>(B7-B8)/B7*100</f>
        <v/>
      </c>
      <c r="C21" t="inlineStr">
        <is>
          <t>30%以上が望ましい</t>
        </is>
      </c>
      <c r="D21" s="9">
        <f>IF(B21&gt;=30,"✓良好","要改善")</f>
        <v/>
      </c>
    </row>
    <row r="22">
      <c r="A22" t="inlineStr">
        <is>
          <t>営業利益率</t>
        </is>
      </c>
      <c r="B22" s="8">
        <f>B10/B7*100</f>
        <v/>
      </c>
      <c r="C22" t="inlineStr">
        <is>
          <t>10%以上が望ましい</t>
        </is>
      </c>
      <c r="D22" s="9">
        <f>IF(B22&gt;=10,"✓良好","要改善")</f>
        <v/>
      </c>
    </row>
    <row r="23">
      <c r="A23" t="inlineStr">
        <is>
          <t>運転資金</t>
        </is>
      </c>
      <c r="B23" s="8">
        <f>B11+B12-B13</f>
        <v/>
      </c>
      <c r="C23" t="inlineStr">
        <is>
          <t>プラスであること</t>
        </is>
      </c>
      <c r="D23" s="9">
        <f>IF(B23&gt;0,"✓良好","要注意")</f>
        <v/>
      </c>
    </row>
    <row r="24">
      <c r="A24" t="inlineStr">
        <is>
          <t>借入返済比率</t>
        </is>
      </c>
      <c r="B24" s="8">
        <f>B15/B10</f>
        <v/>
      </c>
      <c r="C24" t="inlineStr">
        <is>
          <t>50%以下が望ましい</t>
        </is>
      </c>
      <c r="D24" s="9">
        <f>IF(B24&lt;=0.5,"✓良好","要改善")</f>
        <v/>
      </c>
    </row>
    <row r="25">
      <c r="A25" t="inlineStr">
        <is>
          <t>現金月商比</t>
        </is>
      </c>
      <c r="B25" s="8">
        <f>B11/B7</f>
        <v/>
      </c>
      <c r="C25" t="inlineStr">
        <is>
          <t>1.0以上が安全</t>
        </is>
      </c>
      <c r="D25" s="9">
        <f>IF(B25&gt;=1,"✓良好","要注意")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2025-11-01T11:05:40Z</dcterms:created>
  <dcterms:modified xmlns:dcterms="http://purl.org/dc/terms/" xmlns:xsi="http://www.w3.org/2001/XMLSchema-instance" xsi:type="dcterms:W3CDTF">2025-11-01T11:05:40Z</dcterms:modified>
</cp:coreProperties>
</file>