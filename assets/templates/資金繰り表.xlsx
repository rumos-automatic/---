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繰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0" borderId="0" pivotButton="0" quotePrefix="0" xfId="0"/>
    <xf numFmtId="3" fontId="0" fillId="4" borderId="0" pivotButton="0" quotePrefix="0" xfId="0"/>
    <xf numFmtId="3" fontId="0" fillId="5" borderId="0" pivotButton="0" quotePrefix="0" xfId="0"/>
    <xf numFmtId="0" fontId="4" fillId="0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資金繰り表（3ヶ月版）</t>
        </is>
      </c>
    </row>
    <row r="2">
      <c r="A2" s="2" t="inlineStr">
        <is>
          <t>【使い方】青色のセルに予定金額を入力してください。緑色のセルは自動計算されます。</t>
        </is>
      </c>
    </row>
    <row r="4">
      <c r="A4" s="3" t="inlineStr">
        <is>
          <t>項目</t>
        </is>
      </c>
      <c r="B4" s="3" t="inlineStr">
        <is>
          <t>1月</t>
        </is>
      </c>
      <c r="C4" s="3" t="inlineStr">
        <is>
          <t>2月</t>
        </is>
      </c>
      <c r="D4" s="3" t="inlineStr">
        <is>
          <t>3月</t>
        </is>
      </c>
      <c r="E4" s="3" t="inlineStr">
        <is>
          <t>合計</t>
        </is>
      </c>
      <c r="F4" s="3" t="inlineStr">
        <is>
          <t>備考</t>
        </is>
      </c>
    </row>
    <row r="5">
      <c r="A5" s="4" t="inlineStr">
        <is>
          <t>【収入】</t>
        </is>
      </c>
    </row>
    <row r="6">
      <c r="A6" t="inlineStr">
        <is>
          <t xml:space="preserve">  売上入金</t>
        </is>
      </c>
      <c r="B6" s="5" t="n">
        <v>4500000</v>
      </c>
      <c r="C6" s="5" t="n">
        <v>5000000</v>
      </c>
      <c r="D6" s="5" t="n">
        <v>5500000</v>
      </c>
      <c r="E6" s="6">
        <f>SUM(B6:D6)</f>
        <v/>
      </c>
      <c r="F6" t="inlineStr">
        <is>
          <t>現金売上+売掛回収</t>
        </is>
      </c>
    </row>
    <row r="7">
      <c r="A7" t="inlineStr">
        <is>
          <t xml:space="preserve">  その他収入</t>
        </is>
      </c>
      <c r="B7" s="5" t="n">
        <v>100000</v>
      </c>
      <c r="C7" s="5" t="n">
        <v>0</v>
      </c>
      <c r="D7" s="5" t="n">
        <v>50000</v>
      </c>
      <c r="E7" s="6">
        <f>SUM(B7:D7)</f>
        <v/>
      </c>
      <c r="F7" t="inlineStr">
        <is>
          <t>雑収入など</t>
        </is>
      </c>
    </row>
    <row r="8">
      <c r="A8" s="7" t="inlineStr">
        <is>
          <t>収入合計</t>
        </is>
      </c>
      <c r="B8" s="8">
        <f>SUM(B6:B7)</f>
        <v/>
      </c>
      <c r="C8" s="8">
        <f>SUM(C6:C7)</f>
        <v/>
      </c>
      <c r="D8" s="8">
        <f>SUM(D6:D7)</f>
        <v/>
      </c>
      <c r="E8" s="8">
        <f>SUM(E6:E7)</f>
        <v/>
      </c>
    </row>
    <row r="9">
      <c r="A9" s="4" t="inlineStr">
        <is>
          <t>【支出】</t>
        </is>
      </c>
    </row>
    <row r="10">
      <c r="A10" t="inlineStr">
        <is>
          <t xml:space="preserve">  仕入支払</t>
        </is>
      </c>
      <c r="B10" s="5" t="n">
        <v>1800000</v>
      </c>
      <c r="C10" s="5" t="n">
        <v>2000000</v>
      </c>
      <c r="D10" s="5" t="n">
        <v>2200000</v>
      </c>
      <c r="E10" s="6">
        <f>SUM(B10:D10)</f>
        <v/>
      </c>
      <c r="F10" t="inlineStr">
        <is>
          <t>買掛金支払</t>
        </is>
      </c>
    </row>
    <row r="11">
      <c r="A11" t="inlineStr">
        <is>
          <t xml:space="preserve">  人件費</t>
        </is>
      </c>
      <c r="B11" s="5" t="n">
        <v>800000</v>
      </c>
      <c r="C11" s="5" t="n">
        <v>800000</v>
      </c>
      <c r="D11" s="5" t="n">
        <v>800000</v>
      </c>
      <c r="E11" s="6">
        <f>SUM(B11:D11)</f>
        <v/>
      </c>
      <c r="F11" t="inlineStr">
        <is>
          <t>給与・賞与</t>
        </is>
      </c>
    </row>
    <row r="12">
      <c r="A12" t="inlineStr">
        <is>
          <t xml:space="preserve">  家賃</t>
        </is>
      </c>
      <c r="B12" s="5" t="n">
        <v>200000</v>
      </c>
      <c r="C12" s="5" t="n">
        <v>200000</v>
      </c>
      <c r="D12" s="5" t="n">
        <v>200000</v>
      </c>
      <c r="E12" s="6">
        <f>SUM(B12:D12)</f>
        <v/>
      </c>
      <c r="F12" t="inlineStr">
        <is>
          <t>事務所・店舗</t>
        </is>
      </c>
    </row>
    <row r="13">
      <c r="A13" t="inlineStr">
        <is>
          <t xml:space="preserve">  広告費</t>
        </is>
      </c>
      <c r="B13" s="5" t="n">
        <v>300000</v>
      </c>
      <c r="C13" s="5" t="n">
        <v>400000</v>
      </c>
      <c r="D13" s="5" t="n">
        <v>350000</v>
      </c>
      <c r="E13" s="6">
        <f>SUM(B13:D13)</f>
        <v/>
      </c>
      <c r="F13" t="inlineStr">
        <is>
          <t>マーケティング</t>
        </is>
      </c>
    </row>
    <row r="14">
      <c r="A14" t="inlineStr">
        <is>
          <t xml:space="preserve">  その他経費</t>
        </is>
      </c>
      <c r="B14" s="5" t="n">
        <v>200000</v>
      </c>
      <c r="C14" s="5" t="n">
        <v>180000</v>
      </c>
      <c r="D14" s="5" t="n">
        <v>220000</v>
      </c>
      <c r="E14" s="6">
        <f>SUM(B14:D14)</f>
        <v/>
      </c>
      <c r="F14" t="inlineStr">
        <is>
          <t>諸経費</t>
        </is>
      </c>
    </row>
    <row r="15">
      <c r="A15" t="inlineStr">
        <is>
          <t xml:space="preserve">  融資返済</t>
        </is>
      </c>
      <c r="B15" s="5" t="n">
        <v>300000</v>
      </c>
      <c r="C15" s="5" t="n">
        <v>300000</v>
      </c>
      <c r="D15" s="5" t="n">
        <v>300000</v>
      </c>
      <c r="E15" s="6">
        <f>SUM(B15:D15)</f>
        <v/>
      </c>
      <c r="F15" t="inlineStr">
        <is>
          <t>元本+利息</t>
        </is>
      </c>
    </row>
    <row r="16">
      <c r="A16" t="inlineStr">
        <is>
          <t xml:space="preserve">  税金</t>
        </is>
      </c>
      <c r="B16" s="5" t="n">
        <v>0</v>
      </c>
      <c r="C16" s="5" t="n">
        <v>0</v>
      </c>
      <c r="D16" s="5" t="n">
        <v>500000</v>
      </c>
      <c r="E16" s="6">
        <f>SUM(B16:D16)</f>
        <v/>
      </c>
      <c r="F16" t="inlineStr">
        <is>
          <t>法人税等</t>
        </is>
      </c>
    </row>
    <row r="17">
      <c r="A17" s="7" t="inlineStr">
        <is>
          <t>支出合計</t>
        </is>
      </c>
      <c r="B17" s="8">
        <f>SUM(B10:B16)</f>
        <v/>
      </c>
      <c r="C17" s="8">
        <f>SUM(C10:C16)</f>
        <v/>
      </c>
      <c r="D17" s="8">
        <f>SUM(D10:D16)</f>
        <v/>
      </c>
      <c r="E17" s="8">
        <f>SUM(E10:E16)</f>
        <v/>
      </c>
    </row>
    <row r="19">
      <c r="A19" s="7" t="inlineStr">
        <is>
          <t>資金収支</t>
        </is>
      </c>
      <c r="B19" s="8">
        <f>B8-B17</f>
        <v/>
      </c>
      <c r="C19" s="8">
        <f>C8-C17</f>
        <v/>
      </c>
      <c r="D19" s="8">
        <f>D8-D17</f>
        <v/>
      </c>
      <c r="E19" s="8">
        <f>SUM(B19:D19)</f>
        <v/>
      </c>
    </row>
    <row r="20">
      <c r="A20" t="inlineStr">
        <is>
          <t>期首現金残高</t>
        </is>
      </c>
      <c r="B20" s="5" t="n">
        <v>3000000</v>
      </c>
      <c r="C20" s="6">
        <f>B21</f>
        <v/>
      </c>
      <c r="D20" s="6">
        <f>C21</f>
        <v/>
      </c>
    </row>
    <row r="21">
      <c r="A21" s="7" t="inlineStr">
        <is>
          <t>期末現金残高</t>
        </is>
      </c>
      <c r="B21" s="8">
        <f>B19+B20</f>
        <v/>
      </c>
      <c r="C21" s="8">
        <f>C19+C20</f>
        <v/>
      </c>
      <c r="D21" s="8">
        <f>D19+D20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2025-11-01T11:05:21Z</dcterms:created>
  <dcterms:modified xmlns:dcterms="http://purl.org/dc/terms/" xmlns:xsi="http://www.w3.org/2001/XMLSchema-instance" xsi:type="dcterms:W3CDTF">2025-11-01T11:05:21Z</dcterms:modified>
</cp:coreProperties>
</file>