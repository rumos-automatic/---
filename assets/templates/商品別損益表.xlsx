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損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3" fontId="0" fillId="4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4" fillId="0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商品別損益表</t>
        </is>
      </c>
    </row>
    <row r="2">
      <c r="A2" s="2" t="inlineStr">
        <is>
          <t>【使い方】青色のセルに数値を入力してください。緑色のセルは自動計算されます。</t>
        </is>
      </c>
    </row>
    <row r="4">
      <c r="A4" s="3" t="inlineStr">
        <is>
          <t>商品名</t>
        </is>
      </c>
      <c r="B4" s="3" t="inlineStr">
        <is>
          <t>売上高（円）</t>
        </is>
      </c>
      <c r="C4" s="3" t="inlineStr">
        <is>
          <t>売上原価（円）</t>
        </is>
      </c>
      <c r="D4" s="3" t="inlineStr">
        <is>
          <t>粗利（円）</t>
        </is>
      </c>
      <c r="E4" s="3" t="inlineStr">
        <is>
          <t>粗利率（%）</t>
        </is>
      </c>
      <c r="F4" s="3" t="inlineStr">
        <is>
          <t>構成比（%）</t>
        </is>
      </c>
    </row>
    <row r="5">
      <c r="A5" t="inlineStr">
        <is>
          <t>商品A</t>
        </is>
      </c>
      <c r="B5" s="4" t="n">
        <v>2000000</v>
      </c>
      <c r="C5" s="4" t="n">
        <v>800000</v>
      </c>
      <c r="D5" s="5">
        <f>B5-C5</f>
        <v/>
      </c>
      <c r="E5" s="6">
        <f>D5/B5*100</f>
        <v/>
      </c>
      <c r="F5" s="6">
        <f>B5/$B$9*100</f>
        <v/>
      </c>
    </row>
    <row r="6">
      <c r="A6" t="inlineStr">
        <is>
          <t>商品B</t>
        </is>
      </c>
      <c r="B6" s="4" t="n">
        <v>1500000</v>
      </c>
      <c r="C6" s="4" t="n">
        <v>600000</v>
      </c>
      <c r="D6" s="5">
        <f>B6-C6</f>
        <v/>
      </c>
      <c r="E6" s="6">
        <f>D6/B6*100</f>
        <v/>
      </c>
      <c r="F6" s="6">
        <f>B6/$B$9*100</f>
        <v/>
      </c>
    </row>
    <row r="7">
      <c r="A7" t="inlineStr">
        <is>
          <t>商品C</t>
        </is>
      </c>
      <c r="B7" s="4" t="n">
        <v>1000000</v>
      </c>
      <c r="C7" s="4" t="n">
        <v>500000</v>
      </c>
      <c r="D7" s="5">
        <f>B7-C7</f>
        <v/>
      </c>
      <c r="E7" s="6">
        <f>D7/B7*100</f>
        <v/>
      </c>
      <c r="F7" s="6">
        <f>B7/$B$9*100</f>
        <v/>
      </c>
    </row>
    <row r="8">
      <c r="A8" t="inlineStr">
        <is>
          <t>商品D</t>
        </is>
      </c>
      <c r="B8" s="4" t="n">
        <v>500000</v>
      </c>
      <c r="C8" s="4" t="n">
        <v>200000</v>
      </c>
      <c r="D8" s="5">
        <f>B8-C8</f>
        <v/>
      </c>
      <c r="E8" s="6">
        <f>D8/B8*100</f>
        <v/>
      </c>
      <c r="F8" s="6">
        <f>B8/$B$9*100</f>
        <v/>
      </c>
    </row>
    <row r="9">
      <c r="A9" s="7" t="inlineStr">
        <is>
          <t>合計</t>
        </is>
      </c>
      <c r="B9" s="8">
        <f>SUM(B5:B8)</f>
        <v/>
      </c>
      <c r="C9" s="8">
        <f>SUM(C5:C8)</f>
        <v/>
      </c>
      <c r="D9" s="8">
        <f>SUM(D5:D8)</f>
        <v/>
      </c>
      <c r="E9" s="6">
        <f>D9/B9*100</f>
        <v/>
      </c>
      <c r="F9" s="6">
        <f>SUM(F5:F8)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2025-11-01T11:05:22Z</dcterms:created>
  <dcterms:modified xmlns:dcterms="http://purl.org/dc/terms/" xmlns:xsi="http://www.w3.org/2001/XMLSchema-instance" xsi:type="dcterms:W3CDTF">2025-11-01T11:05:22Z</dcterms:modified>
</cp:coreProperties>
</file>