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算実績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3" fontId="0" fillId="3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月次予算実績管理表</t>
        </is>
      </c>
    </row>
    <row r="2">
      <c r="A2" s="2" t="inlineStr">
        <is>
          <t>【使い方】青色のセルに予算・実績を入力してください。緑色のセルは自動計算されます。</t>
        </is>
      </c>
    </row>
    <row r="4">
      <c r="A4" t="inlineStr">
        <is>
          <t>対象月</t>
        </is>
      </c>
      <c r="B4" s="3" t="inlineStr">
        <is>
          <t>2025年1月</t>
        </is>
      </c>
    </row>
    <row r="6">
      <c r="A6" s="4" t="inlineStr">
        <is>
          <t>項目</t>
        </is>
      </c>
      <c r="B6" s="4" t="inlineStr">
        <is>
          <t>予算（円）</t>
        </is>
      </c>
      <c r="C6" s="4" t="inlineStr">
        <is>
          <t>実績（円）</t>
        </is>
      </c>
      <c r="D6" s="4" t="inlineStr">
        <is>
          <t>差異（円）</t>
        </is>
      </c>
      <c r="E6" s="4" t="inlineStr">
        <is>
          <t>達成率（%）</t>
        </is>
      </c>
      <c r="F6" s="4" t="inlineStr">
        <is>
          <t>前年実績（円）</t>
        </is>
      </c>
      <c r="G6" s="4" t="inlineStr">
        <is>
          <t>前年比（%）</t>
        </is>
      </c>
    </row>
    <row r="7">
      <c r="A7" t="inlineStr">
        <is>
          <t>売上高</t>
        </is>
      </c>
      <c r="B7" s="5" t="n">
        <v>5000000</v>
      </c>
      <c r="C7" s="5" t="n">
        <v>4800000</v>
      </c>
      <c r="D7" s="6">
        <f>C7-B7</f>
        <v/>
      </c>
      <c r="E7" s="7">
        <f>C7/B7*100</f>
        <v/>
      </c>
      <c r="F7" s="5" t="n">
        <v>4500000</v>
      </c>
      <c r="G7" s="7">
        <f>C7/F7*100</f>
        <v/>
      </c>
    </row>
    <row r="8">
      <c r="A8" t="inlineStr">
        <is>
          <t>売上原価</t>
        </is>
      </c>
      <c r="B8" s="5" t="n">
        <v>2000000</v>
      </c>
      <c r="C8" s="5" t="n">
        <v>1920000</v>
      </c>
      <c r="D8" s="6">
        <f>C8-B8</f>
        <v/>
      </c>
      <c r="E8" s="7">
        <f>C8/B8*100</f>
        <v/>
      </c>
      <c r="F8" s="5" t="n">
        <v>1800000</v>
      </c>
      <c r="G8" s="7">
        <f>C8/F8*100</f>
        <v/>
      </c>
    </row>
    <row r="9">
      <c r="A9" s="8" t="inlineStr">
        <is>
          <t>売上総利益</t>
        </is>
      </c>
      <c r="B9" s="6">
        <f>B7-B8</f>
        <v/>
      </c>
      <c r="C9" s="6">
        <f>C7-C8</f>
        <v/>
      </c>
      <c r="D9" s="6">
        <f>C9-B9</f>
        <v/>
      </c>
      <c r="E9" s="7">
        <f>C9/B9*100</f>
        <v/>
      </c>
      <c r="F9" s="6">
        <f>F7-F8</f>
        <v/>
      </c>
      <c r="G9" s="7">
        <f>C9/F9*100</f>
        <v/>
      </c>
    </row>
    <row r="10">
      <c r="A10" t="inlineStr">
        <is>
          <t>販管費</t>
        </is>
      </c>
      <c r="B10" s="5" t="n">
        <v>1500000</v>
      </c>
      <c r="C10" s="5" t="n">
        <v>1450000</v>
      </c>
      <c r="D10" s="6">
        <f>C10-B10</f>
        <v/>
      </c>
      <c r="E10" s="7">
        <f>C10/B10*100</f>
        <v/>
      </c>
      <c r="F10" s="5" t="n">
        <v>1400000</v>
      </c>
      <c r="G10" s="7">
        <f>C10/F10*100</f>
        <v/>
      </c>
    </row>
    <row r="11">
      <c r="A11" s="8" t="inlineStr">
        <is>
          <t>営業利益</t>
        </is>
      </c>
      <c r="B11" s="6">
        <f>B9-B10</f>
        <v/>
      </c>
      <c r="C11" s="6">
        <f>C9-C10</f>
        <v/>
      </c>
      <c r="D11" s="6">
        <f>C11-B11</f>
        <v/>
      </c>
      <c r="E11" s="7">
        <f>C11/B11*100</f>
        <v/>
      </c>
      <c r="F11" s="6">
        <f>F9-F10</f>
        <v/>
      </c>
      <c r="G11" s="7">
        <f>C11/F11*100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2025-11-01T11:05:26Z</dcterms:created>
  <dcterms:modified xmlns:dcterms="http://purl.org/dc/terms/" xmlns:xsi="http://www.w3.org/2001/XMLSchema-instance" xsi:type="dcterms:W3CDTF">2025-11-01T11:05:26Z</dcterms:modified>
</cp:coreProperties>
</file>